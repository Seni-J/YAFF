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l="1"/>
  <c r="B21" i="1"/>
  <c r="B22" i="1"/>
  <c r="B23" i="1"/>
  <c r="B24" i="1"/>
  <c r="B25" i="1"/>
  <c r="B26" i="1"/>
  <c r="B27" i="1"/>
  <c r="B28" i="1"/>
  <c r="B29" i="1"/>
  <c r="B30" i="1"/>
  <c r="B31" i="1"/>
  <c r="B32" i="1"/>
  <c r="B33" i="1"/>
</calcChain>
</file>

<file path=xl/sharedStrings.xml><?xml version="1.0" encoding="utf-8"?>
<sst xmlns="http://schemas.openxmlformats.org/spreadsheetml/2006/main" count="85" uniqueCount="45">
  <si>
    <t>Description</t>
  </si>
  <si>
    <t>Remarques/problèmes</t>
  </si>
  <si>
    <t>Jour</t>
  </si>
  <si>
    <t>Temps [h]</t>
  </si>
  <si>
    <t>Type</t>
  </si>
  <si>
    <t>Types de tâches</t>
  </si>
  <si>
    <t>Analyse</t>
  </si>
  <si>
    <t>Implémentation</t>
  </si>
  <si>
    <t>Tests</t>
  </si>
  <si>
    <t>Documentation</t>
  </si>
  <si>
    <t>Absence</t>
  </si>
  <si>
    <t>Semaine</t>
  </si>
  <si>
    <t>Somme de Temps [h]</t>
  </si>
  <si>
    <t>Meeting</t>
  </si>
  <si>
    <t>(vide)</t>
  </si>
  <si>
    <t>Total général</t>
  </si>
  <si>
    <t>Prise de connaissance du projet à faire.</t>
  </si>
  <si>
    <t>Création des groupes pour le projet. Je fais le projet avec Jarod.</t>
  </si>
  <si>
    <t xml:space="preserve">Prise en connaissance de la documentation. Possibilité de poser des questions pour clarifier certaines parties. </t>
  </si>
  <si>
    <t>Début de la rédaction du cahier des charges. On partage le boulot. Je m'occupe avant d'installer et de mettre en place les outils comme Trello, Wunderlist..</t>
  </si>
  <si>
    <t>J'écris quelques points sur le cahier des charges en reprenant une documentation pour aider la rédaction du CdC.</t>
  </si>
  <si>
    <t>On a formulé différentes questions qui n'étaient pas clairs.</t>
  </si>
  <si>
    <t>Correction des fautes du CdC.</t>
  </si>
  <si>
    <t>On a posé 2-3 questions supplémentaires au client et relu des questions. On a aussi eu les réponses pour les questions posées le 7 septembre.</t>
  </si>
  <si>
    <t>Je m'occupe de la majeure partie des scénarios.</t>
  </si>
  <si>
    <t>Camp de marche (Teambuilding).</t>
  </si>
  <si>
    <t>Avec Jarod et Alexandre, nous avons discuté de l'architecture possible pour l'application. Nous avons aussi pensé à mettre en place une BDD mais après réfléxion et conseils de Mr. Hurni, nous avons abandonné l'idée.</t>
  </si>
  <si>
    <t>Début du projet sur Visual Studio. J'ai commencé à faire l'interface de A à Z en se basant sur la maquette.</t>
  </si>
  <si>
    <t>Jarod étant absent, je m'occupe de la partie de la récupération des disques durs. J'ai aussi remis correctement Github ainsi que Trello pour qu'on soit à jour.</t>
  </si>
  <si>
    <t>J'ai mis en place un combobox pour retrouver les lecteurs disponibles sur l'ordinateur. J'ai réussi à récupérer les lecteurs mais pas les dossiers.</t>
  </si>
  <si>
    <t>Jarod et moi avons merge nos branches car il avait une autre technique pour la recherche des lecteurs. Je me suis aussi occupé de régler des soucis suite au merge et de divers problèmes avec git.</t>
  </si>
  <si>
    <t>J'ai discuté avec Jarod pour modifier la recherche des dossiers/lecteurs. On a donc changé la méthode et fixé différents problèmes.</t>
  </si>
  <si>
    <t>Vacances</t>
  </si>
  <si>
    <t>Inversion avec les périodes GPR1. Pour laisser Jarod sur les fichiers et sur les lecteurs, je me suis occupé des filtres. Je me suis aussi occupé de l'interface.</t>
  </si>
  <si>
    <t>Mis à jour du Trello. J'ai continué sur les filtres. J'ai crée une méthode pour faire en sorte que la liste s'actualise en supprimant les fichiers qui ne correspondent pas au champ recherché.</t>
  </si>
  <si>
    <t>Mis en place du bouton effacer. Réglage de quelques soucis sur le case sensitive.</t>
  </si>
  <si>
    <t>Je me suis documenter sur quelques problèmes que j'avais sur le code. Différentes recherches effectuées pour l'optimisation.</t>
  </si>
  <si>
    <t>Préparation pour les portes ouvertes.</t>
  </si>
  <si>
    <t>J'ai implémenté une solution pour les auteurs. Sachant qu'on a pas l'auteur du metadata du fichier mais le propriétaire. Au final, mes précédents recherches ont été vains.</t>
  </si>
  <si>
    <t>Le metadata du fichier était irrécupérable. Nous avons donc utilisé le propriétaire du fichier.</t>
  </si>
  <si>
    <t>Amélioration du bouton annuler. Mise en place du filtre via extension.</t>
  </si>
  <si>
    <t>Remise en place du GitHub. Les mergings ont posés problème et avec Jarod ont a pris les 3 périodes pour régler le problème.</t>
  </si>
  <si>
    <t>Malade. Cependant, j'ai travaillé sur les filtres chez moi.</t>
  </si>
  <si>
    <t>Correction d'un filtre que j'avais fait chez moi. J'ai aussi rajouté une barre de chargement comme visuel pour pas que l'utilisateur se dise que l'application ait planté.</t>
  </si>
  <si>
    <t>J'ai travaillé sur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</si>
</sst>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s>
  <cellStyleXfs count="1">
    <xf numFmtId="0" fontId="0" fillId="0" borderId="0"/>
  </cellStyleXfs>
  <cellXfs count="3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1" xfId="0" applyBorder="1" applyAlignment="1" applyProtection="1">
      <alignment wrapText="1"/>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wrapText="1"/>
      <protection locked="0"/>
    </xf>
    <xf numFmtId="0" fontId="0" fillId="0" borderId="0" xfId="0" applyBorder="1" applyAlignment="1" applyProtection="1">
      <alignment horizontal="left" vertical="center" wrapText="1"/>
      <protection locked="0"/>
    </xf>
    <xf numFmtId="16" fontId="0" fillId="0" borderId="5" xfId="0" applyNumberFormat="1" applyBorder="1" applyAlignment="1" applyProtection="1">
      <alignment horizontal="center" vertical="center"/>
      <protection locked="0"/>
    </xf>
    <xf numFmtId="1" fontId="0" fillId="0" borderId="6" xfId="0" applyNumberFormat="1" applyBorder="1" applyAlignment="1" applyProtection="1">
      <alignment horizontal="center" vertical="center"/>
    </xf>
    <xf numFmtId="2" fontId="0" fillId="0" borderId="6"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wrapText="1"/>
      <protection locked="0"/>
    </xf>
    <xf numFmtId="0" fontId="0" fillId="0" borderId="6" xfId="0"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375.434654745368" createdVersion="4" refreshedVersion="6" minRefreshableVersion="3" recordCount="52">
  <cacheSource type="worksheet">
    <worksheetSource ref="A1:D76" sheet="Journal"/>
  </cacheSource>
  <cacheFields count="4">
    <cacheField name="Jour" numFmtId="16">
      <sharedItems containsNonDate="0" containsDate="1" containsString="0" containsBlank="1" minDate="2018-01-01T00:00:00" maxDate="2018-09-15T00:00:00" count="23">
        <d v="2018-09-14T00:00:00"/>
        <d v="2018-09-11T00:00:00"/>
        <d v="2018-09-07T00:00:00"/>
        <d v="2018-09-04T00:00:00"/>
        <d v="2018-08-31T00:00:00"/>
        <m/>
        <d v="2018-05-31T00:00:00" u="1"/>
        <d v="2018-05-24T00:00:00" u="1"/>
        <d v="2018-05-17T00:00:00" u="1"/>
        <d v="2018-05-29T00:00:00" u="1"/>
        <d v="2018-05-22T00:00:00" u="1"/>
        <d v="2018-06-01T00:00:00" u="1"/>
        <d v="2018-05-15T00:00:00" u="1"/>
        <d v="2018-05-08T00:00:00" u="1"/>
        <d v="2018-06-06T00:00:00" u="1"/>
        <d v="2018-05-25T00:00:00" u="1"/>
        <d v="2018-05-18T00:00:00" u="1"/>
        <d v="2018-05-30T00:00:00" u="1"/>
        <d v="2018-05-23T00:00:00" u="1"/>
        <d v="2018-05-16T00:00:00" u="1"/>
        <d v="2018-05-09T00:00:00" u="1"/>
        <d v="2018-01-01T00:00:00" u="1"/>
        <d v="2018-06-05T00:00:00" u="1"/>
      </sharedItems>
    </cacheField>
    <cacheField name="Semaine" numFmtId="1">
      <sharedItems containsString="0" containsBlank="1" containsNumber="1" containsInteger="1" minValue="35" maxValue="37"/>
    </cacheField>
    <cacheField name="Temps [h]" numFmtId="2">
      <sharedItems containsString="0" containsBlank="1" containsNumber="1" minValue="0.25" maxValue="2.25"/>
    </cacheField>
    <cacheField name="Type" numFmtId="0">
      <sharedItems containsBlank="1" count="6">
        <s v="Documentation"/>
        <s v="Analyse"/>
        <m/>
        <s v="Meeting"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2">
  <r>
    <x v="0"/>
    <n v="37"/>
    <n v="2.25"/>
    <x v="0"/>
  </r>
  <r>
    <x v="1"/>
    <n v="37"/>
    <n v="1"/>
    <x v="0"/>
  </r>
  <r>
    <x v="1"/>
    <n v="37"/>
    <n v="1.25"/>
    <x v="0"/>
  </r>
  <r>
    <x v="2"/>
    <n v="36"/>
    <n v="0.25"/>
    <x v="1"/>
  </r>
  <r>
    <x v="2"/>
    <n v="36"/>
    <n v="2"/>
    <x v="0"/>
  </r>
  <r>
    <x v="3"/>
    <n v="36"/>
    <n v="2.25"/>
    <x v="0"/>
  </r>
  <r>
    <x v="4"/>
    <n v="35"/>
    <n v="0.75"/>
    <x v="1"/>
  </r>
  <r>
    <x v="4"/>
    <n v="35"/>
    <n v="1"/>
    <x v="1"/>
  </r>
  <r>
    <x v="4"/>
    <n v="35"/>
    <n v="0.5"/>
    <x v="0"/>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1" firstDataRow="2" firstDataCol="1"/>
  <pivotFields count="4">
    <pivotField axis="axisRow" numFmtId="16" showAll="0">
      <items count="24">
        <item m="1" x="21"/>
        <item m="1" x="10"/>
        <item m="1" x="8"/>
        <item m="1" x="19"/>
        <item m="1" x="12"/>
        <item m="1" x="20"/>
        <item m="1" x="13"/>
        <item m="1" x="16"/>
        <item m="1" x="15"/>
        <item m="1" x="7"/>
        <item m="1" x="18"/>
        <item m="1" x="6"/>
        <item m="1" x="17"/>
        <item m="1" x="9"/>
        <item m="1" x="22"/>
        <item m="1" x="11"/>
        <item m="1" x="14"/>
        <item x="4"/>
        <item x="5"/>
        <item x="0"/>
        <item x="1"/>
        <item x="2"/>
        <item x="3"/>
        <item t="default"/>
      </items>
    </pivotField>
    <pivotField showAll="0"/>
    <pivotField dataField="1" showAll="0"/>
    <pivotField axis="axisCol" showAll="0">
      <items count="7">
        <item x="0"/>
        <item m="1" x="4"/>
        <item x="1"/>
        <item m="1" x="5"/>
        <item m="1" x="3"/>
        <item x="2"/>
        <item t="default"/>
      </items>
    </pivotField>
  </pivotFields>
  <rowFields count="1">
    <field x="0"/>
  </rowFields>
  <rowItems count="7">
    <i>
      <x v="17"/>
    </i>
    <i>
      <x v="18"/>
    </i>
    <i>
      <x v="19"/>
    </i>
    <i>
      <x v="20"/>
    </i>
    <i>
      <x v="21"/>
    </i>
    <i>
      <x v="22"/>
    </i>
    <i t="grand">
      <x/>
    </i>
  </rowItems>
  <colFields count="1">
    <field x="3"/>
  </colFields>
  <colItems count="4">
    <i>
      <x/>
    </i>
    <i>
      <x v="2"/>
    </i>
    <i>
      <x v="5"/>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7"/>
  <sheetViews>
    <sheetView tabSelected="1" workbookViewId="0">
      <selection activeCell="E3" sqref="E3"/>
    </sheetView>
  </sheetViews>
  <sheetFormatPr baseColWidth="10" defaultColWidth="9.140625" defaultRowHeight="15" x14ac:dyDescent="0.25"/>
  <cols>
    <col min="1" max="1" width="14.28515625" style="8" customWidth="1"/>
    <col min="2" max="2" width="9.28515625" style="18" bestFit="1" customWidth="1"/>
    <col min="3" max="3" width="10.5703125" style="14" bestFit="1" customWidth="1"/>
    <col min="4" max="4" width="15.42578125" style="8" bestFit="1" customWidth="1"/>
    <col min="5" max="5" width="84.85546875" style="15" bestFit="1" customWidth="1"/>
    <col min="6" max="6" width="75.140625" style="15" customWidth="1"/>
    <col min="7" max="16384" width="9.140625" style="11"/>
  </cols>
  <sheetData>
    <row r="1" spans="1:9" ht="24" customHeight="1" x14ac:dyDescent="0.25">
      <c r="A1" s="6" t="s">
        <v>2</v>
      </c>
      <c r="B1" s="16" t="s">
        <v>11</v>
      </c>
      <c r="C1" s="9" t="s">
        <v>3</v>
      </c>
      <c r="D1" s="6" t="s">
        <v>4</v>
      </c>
      <c r="E1" s="22" t="s">
        <v>0</v>
      </c>
      <c r="F1" s="10" t="s">
        <v>1</v>
      </c>
    </row>
    <row r="2" spans="1:9" x14ac:dyDescent="0.25">
      <c r="A2" s="7">
        <v>43433</v>
      </c>
      <c r="B2" s="17">
        <f t="shared" ref="B2" si="0">WEEKNUM(A2)</f>
        <v>48</v>
      </c>
      <c r="C2" s="12">
        <v>2.25</v>
      </c>
      <c r="D2" s="20" t="s">
        <v>9</v>
      </c>
      <c r="E2" s="23" t="s">
        <v>44</v>
      </c>
      <c r="F2" s="21"/>
      <c r="I2" s="13"/>
    </row>
    <row r="3" spans="1:9" ht="30" x14ac:dyDescent="0.25">
      <c r="A3" s="7">
        <v>43433</v>
      </c>
      <c r="B3" s="17">
        <f t="shared" ref="B3" si="1">WEEKNUM(A3)</f>
        <v>48</v>
      </c>
      <c r="C3" s="12">
        <v>2.25</v>
      </c>
      <c r="D3" s="20" t="s">
        <v>7</v>
      </c>
      <c r="E3" s="23" t="s">
        <v>43</v>
      </c>
      <c r="F3" s="21"/>
      <c r="I3" s="13"/>
    </row>
    <row r="4" spans="1:9" x14ac:dyDescent="0.25">
      <c r="A4" s="7">
        <v>43431</v>
      </c>
      <c r="B4" s="17">
        <f t="shared" ref="B4" si="2">WEEKNUM(A4)</f>
        <v>48</v>
      </c>
      <c r="C4" s="12">
        <v>0</v>
      </c>
      <c r="D4" s="20" t="s">
        <v>10</v>
      </c>
      <c r="E4" s="23" t="s">
        <v>42</v>
      </c>
      <c r="F4" s="21"/>
      <c r="I4" s="13"/>
    </row>
    <row r="5" spans="1:9" ht="30" x14ac:dyDescent="0.25">
      <c r="A5" s="7">
        <v>43426</v>
      </c>
      <c r="B5" s="17">
        <f t="shared" ref="B5" si="3">WEEKNUM(A5)</f>
        <v>47</v>
      </c>
      <c r="C5" s="12">
        <v>2.25</v>
      </c>
      <c r="D5" s="20" t="s">
        <v>8</v>
      </c>
      <c r="E5" s="23" t="s">
        <v>41</v>
      </c>
      <c r="F5" s="21"/>
      <c r="I5" s="13"/>
    </row>
    <row r="6" spans="1:9" x14ac:dyDescent="0.25">
      <c r="A6" s="7">
        <v>43424</v>
      </c>
      <c r="B6" s="17">
        <f t="shared" ref="B6" si="4">WEEKNUM(A6)</f>
        <v>47</v>
      </c>
      <c r="C6" s="12">
        <v>2.25</v>
      </c>
      <c r="D6" s="20" t="s">
        <v>7</v>
      </c>
      <c r="E6" s="23" t="s">
        <v>40</v>
      </c>
      <c r="F6" s="21"/>
      <c r="I6" s="13"/>
    </row>
    <row r="7" spans="1:9" ht="30" x14ac:dyDescent="0.25">
      <c r="A7" s="7">
        <v>43420</v>
      </c>
      <c r="B7" s="17">
        <f t="shared" ref="B7" si="5">WEEKNUM(A7)</f>
        <v>46</v>
      </c>
      <c r="C7" s="12">
        <v>2.25</v>
      </c>
      <c r="D7" s="20" t="s">
        <v>7</v>
      </c>
      <c r="E7" s="23" t="s">
        <v>38</v>
      </c>
      <c r="F7" s="21" t="s">
        <v>39</v>
      </c>
      <c r="I7" s="13"/>
    </row>
    <row r="8" spans="1:9" x14ac:dyDescent="0.25">
      <c r="A8" s="7">
        <v>43419</v>
      </c>
      <c r="B8" s="17">
        <f t="shared" ref="B8" si="6">WEEKNUM(A8)</f>
        <v>46</v>
      </c>
      <c r="C8" s="12">
        <v>2.25</v>
      </c>
      <c r="D8" s="20" t="s">
        <v>13</v>
      </c>
      <c r="E8" s="23" t="s">
        <v>37</v>
      </c>
      <c r="F8" s="21"/>
      <c r="I8" s="13"/>
    </row>
    <row r="9" spans="1:9" ht="30" x14ac:dyDescent="0.25">
      <c r="A9" s="7">
        <v>43413</v>
      </c>
      <c r="B9" s="17">
        <f t="shared" ref="B9" si="7">WEEKNUM(A9)</f>
        <v>45</v>
      </c>
      <c r="C9" s="12">
        <v>2.25</v>
      </c>
      <c r="D9" s="20" t="s">
        <v>6</v>
      </c>
      <c r="E9" s="23" t="s">
        <v>36</v>
      </c>
      <c r="F9" s="21"/>
      <c r="I9" s="13"/>
    </row>
    <row r="10" spans="1:9" x14ac:dyDescent="0.25">
      <c r="A10" s="7">
        <v>43410</v>
      </c>
      <c r="B10" s="17">
        <f t="shared" ref="B10" si="8">WEEKNUM(A10)</f>
        <v>45</v>
      </c>
      <c r="C10" s="12">
        <v>2.25</v>
      </c>
      <c r="D10" s="20" t="s">
        <v>7</v>
      </c>
      <c r="E10" s="23" t="s">
        <v>35</v>
      </c>
      <c r="F10" s="21"/>
      <c r="I10" s="13"/>
    </row>
    <row r="11" spans="1:9" ht="30" x14ac:dyDescent="0.25">
      <c r="A11" s="7">
        <v>43406</v>
      </c>
      <c r="B11" s="17">
        <f t="shared" ref="B11" si="9">WEEKNUM(A11)</f>
        <v>44</v>
      </c>
      <c r="C11" s="12">
        <v>2.25</v>
      </c>
      <c r="D11" s="20" t="s">
        <v>7</v>
      </c>
      <c r="E11" s="23" t="s">
        <v>34</v>
      </c>
      <c r="F11" s="21"/>
      <c r="I11" s="13"/>
    </row>
    <row r="12" spans="1:9" ht="30" x14ac:dyDescent="0.25">
      <c r="A12" s="7">
        <v>43404</v>
      </c>
      <c r="B12" s="17">
        <f t="shared" ref="B12" si="10">WEEKNUM(A12)</f>
        <v>44</v>
      </c>
      <c r="C12" s="12">
        <v>1.5</v>
      </c>
      <c r="D12" s="20" t="s">
        <v>7</v>
      </c>
      <c r="E12" s="23" t="s">
        <v>33</v>
      </c>
      <c r="F12" s="21"/>
      <c r="I12" s="13"/>
    </row>
    <row r="13" spans="1:9" x14ac:dyDescent="0.25">
      <c r="A13" s="7">
        <v>43400</v>
      </c>
      <c r="B13" s="17">
        <f t="shared" ref="B13" si="11">WEEKNUM(A13)</f>
        <v>43</v>
      </c>
      <c r="C13" s="12">
        <v>0</v>
      </c>
      <c r="D13" s="20" t="s">
        <v>10</v>
      </c>
      <c r="E13" s="23" t="s">
        <v>32</v>
      </c>
      <c r="F13" s="21"/>
      <c r="I13" s="13"/>
    </row>
    <row r="14" spans="1:9" x14ac:dyDescent="0.25">
      <c r="A14" s="7">
        <v>43396</v>
      </c>
      <c r="B14" s="17">
        <f t="shared" ref="B14" si="12">WEEKNUM(A14)</f>
        <v>43</v>
      </c>
      <c r="C14" s="12">
        <v>0</v>
      </c>
      <c r="D14" s="20" t="s">
        <v>10</v>
      </c>
      <c r="E14" s="23" t="s">
        <v>32</v>
      </c>
      <c r="F14" s="21"/>
      <c r="I14" s="13"/>
    </row>
    <row r="15" spans="1:9" x14ac:dyDescent="0.25">
      <c r="A15" s="7">
        <v>43392</v>
      </c>
      <c r="B15" s="17">
        <f t="shared" ref="B15" si="13">WEEKNUM(A15)</f>
        <v>42</v>
      </c>
      <c r="C15" s="12">
        <v>0</v>
      </c>
      <c r="D15" s="20" t="s">
        <v>10</v>
      </c>
      <c r="E15" s="23" t="s">
        <v>32</v>
      </c>
      <c r="F15" s="21"/>
      <c r="I15" s="13"/>
    </row>
    <row r="16" spans="1:9" x14ac:dyDescent="0.25">
      <c r="A16" s="7">
        <v>43389</v>
      </c>
      <c r="B16" s="17">
        <f t="shared" ref="B16" si="14">WEEKNUM(A16)</f>
        <v>42</v>
      </c>
      <c r="C16" s="12">
        <v>0</v>
      </c>
      <c r="D16" s="20" t="s">
        <v>10</v>
      </c>
      <c r="E16" s="23" t="s">
        <v>32</v>
      </c>
      <c r="F16" s="21"/>
      <c r="I16" s="13"/>
    </row>
    <row r="17" spans="1:9" ht="30" x14ac:dyDescent="0.25">
      <c r="A17" s="7">
        <v>43385</v>
      </c>
      <c r="B17" s="17">
        <f t="shared" ref="B17" si="15">WEEKNUM(A17)</f>
        <v>41</v>
      </c>
      <c r="C17" s="12">
        <v>2.25</v>
      </c>
      <c r="D17" s="20" t="s">
        <v>7</v>
      </c>
      <c r="E17" s="23" t="s">
        <v>31</v>
      </c>
      <c r="F17" s="21"/>
      <c r="I17" s="13"/>
    </row>
    <row r="18" spans="1:9" ht="45" x14ac:dyDescent="0.25">
      <c r="A18" s="7">
        <v>43382</v>
      </c>
      <c r="B18" s="17">
        <f t="shared" ref="B18" si="16">WEEKNUM(A18)</f>
        <v>41</v>
      </c>
      <c r="C18" s="12">
        <v>2.25</v>
      </c>
      <c r="D18" s="20" t="s">
        <v>7</v>
      </c>
      <c r="E18" s="23" t="s">
        <v>30</v>
      </c>
      <c r="F18" s="21"/>
      <c r="I18" s="13"/>
    </row>
    <row r="19" spans="1:9" ht="30" x14ac:dyDescent="0.25">
      <c r="A19" s="7">
        <v>43378</v>
      </c>
      <c r="B19" s="17">
        <f t="shared" ref="B19" si="17">WEEKNUM(A19)</f>
        <v>40</v>
      </c>
      <c r="C19" s="12">
        <v>2.25</v>
      </c>
      <c r="D19" s="20" t="s">
        <v>7</v>
      </c>
      <c r="E19" s="23" t="s">
        <v>29</v>
      </c>
      <c r="F19" s="21"/>
      <c r="I19" s="13"/>
    </row>
    <row r="20" spans="1:9" ht="30" x14ac:dyDescent="0.25">
      <c r="A20" s="7">
        <v>43375</v>
      </c>
      <c r="B20" s="17">
        <f t="shared" ref="B20" si="18">WEEKNUM(A20)</f>
        <v>40</v>
      </c>
      <c r="C20" s="12">
        <v>2.25</v>
      </c>
      <c r="D20" s="20" t="s">
        <v>7</v>
      </c>
      <c r="E20" s="23" t="s">
        <v>28</v>
      </c>
      <c r="F20" s="21"/>
      <c r="I20" s="13"/>
    </row>
    <row r="21" spans="1:9" ht="45" x14ac:dyDescent="0.25">
      <c r="A21" s="7">
        <v>43371</v>
      </c>
      <c r="B21" s="17">
        <f t="shared" ref="B21" si="19">WEEKNUM(A21)</f>
        <v>39</v>
      </c>
      <c r="C21" s="12">
        <v>2</v>
      </c>
      <c r="D21" s="20" t="s">
        <v>6</v>
      </c>
      <c r="E21" s="23" t="s">
        <v>26</v>
      </c>
      <c r="F21" s="21"/>
      <c r="I21" s="13"/>
    </row>
    <row r="22" spans="1:9" ht="30" x14ac:dyDescent="0.25">
      <c r="A22" s="7">
        <v>43368</v>
      </c>
      <c r="B22" s="17">
        <f t="shared" ref="B22" si="20">WEEKNUM(A22)</f>
        <v>39</v>
      </c>
      <c r="C22" s="12">
        <v>2.25</v>
      </c>
      <c r="D22" s="20" t="s">
        <v>7</v>
      </c>
      <c r="E22" s="23" t="s">
        <v>27</v>
      </c>
      <c r="F22" s="21"/>
      <c r="I22" s="13"/>
    </row>
    <row r="23" spans="1:9" x14ac:dyDescent="0.25">
      <c r="A23" s="7">
        <v>43364</v>
      </c>
      <c r="B23" s="17">
        <f t="shared" ref="B23" si="21">WEEKNUM(A23)</f>
        <v>38</v>
      </c>
      <c r="C23" s="12">
        <v>0</v>
      </c>
      <c r="D23" s="20" t="s">
        <v>10</v>
      </c>
      <c r="E23" s="23" t="s">
        <v>25</v>
      </c>
      <c r="F23" s="21"/>
      <c r="I23" s="13"/>
    </row>
    <row r="24" spans="1:9" x14ac:dyDescent="0.25">
      <c r="A24" s="7">
        <v>43361</v>
      </c>
      <c r="B24" s="17">
        <f t="shared" ref="B24" si="22">WEEKNUM(A24)</f>
        <v>38</v>
      </c>
      <c r="C24" s="12">
        <v>0</v>
      </c>
      <c r="D24" s="20" t="s">
        <v>10</v>
      </c>
      <c r="E24" s="23" t="s">
        <v>25</v>
      </c>
      <c r="F24" s="21"/>
      <c r="I24" s="13"/>
    </row>
    <row r="25" spans="1:9" x14ac:dyDescent="0.25">
      <c r="A25" s="7">
        <v>43357</v>
      </c>
      <c r="B25" s="17">
        <f t="shared" ref="B25" si="23">WEEKNUM(A25)</f>
        <v>37</v>
      </c>
      <c r="C25" s="12">
        <v>2.25</v>
      </c>
      <c r="D25" s="20" t="s">
        <v>9</v>
      </c>
      <c r="E25" s="23" t="s">
        <v>22</v>
      </c>
      <c r="F25" s="21"/>
      <c r="I25" s="13"/>
    </row>
    <row r="26" spans="1:9" ht="30" x14ac:dyDescent="0.25">
      <c r="A26" s="7">
        <v>43354</v>
      </c>
      <c r="B26" s="17">
        <f t="shared" ref="B26" si="24">WEEKNUM(A26)</f>
        <v>37</v>
      </c>
      <c r="C26" s="12">
        <v>1</v>
      </c>
      <c r="D26" s="20" t="s">
        <v>9</v>
      </c>
      <c r="E26" s="23" t="s">
        <v>23</v>
      </c>
      <c r="F26" s="21"/>
      <c r="I26" s="13"/>
    </row>
    <row r="27" spans="1:9" x14ac:dyDescent="0.25">
      <c r="A27" s="7">
        <v>43354</v>
      </c>
      <c r="B27" s="17">
        <f t="shared" ref="B27" si="25">WEEKNUM(A27)</f>
        <v>37</v>
      </c>
      <c r="C27" s="12">
        <v>1.25</v>
      </c>
      <c r="D27" s="20" t="s">
        <v>9</v>
      </c>
      <c r="E27" s="23" t="s">
        <v>24</v>
      </c>
      <c r="F27" s="21"/>
      <c r="I27" s="13"/>
    </row>
    <row r="28" spans="1:9" x14ac:dyDescent="0.25">
      <c r="A28" s="7">
        <v>43350</v>
      </c>
      <c r="B28" s="17">
        <f t="shared" ref="B28" si="26">WEEKNUM(A28)</f>
        <v>36</v>
      </c>
      <c r="C28" s="12">
        <v>0.25</v>
      </c>
      <c r="D28" s="20" t="s">
        <v>6</v>
      </c>
      <c r="E28" s="23" t="s">
        <v>21</v>
      </c>
      <c r="F28" s="21"/>
      <c r="I28" s="13"/>
    </row>
    <row r="29" spans="1:9" ht="30" x14ac:dyDescent="0.25">
      <c r="A29" s="7">
        <v>43350</v>
      </c>
      <c r="B29" s="17">
        <f t="shared" ref="B29" si="27">WEEKNUM(A29)</f>
        <v>36</v>
      </c>
      <c r="C29" s="12">
        <v>2</v>
      </c>
      <c r="D29" s="20" t="s">
        <v>9</v>
      </c>
      <c r="E29" s="23" t="s">
        <v>20</v>
      </c>
      <c r="F29" s="21"/>
      <c r="I29" s="13"/>
    </row>
    <row r="30" spans="1:9" ht="30" x14ac:dyDescent="0.25">
      <c r="A30" s="7">
        <v>43347</v>
      </c>
      <c r="B30" s="17">
        <f t="shared" ref="B30" si="28">WEEKNUM(A30)</f>
        <v>36</v>
      </c>
      <c r="C30" s="12">
        <v>2.25</v>
      </c>
      <c r="D30" s="20" t="s">
        <v>9</v>
      </c>
      <c r="E30" s="23" t="s">
        <v>19</v>
      </c>
      <c r="F30" s="21"/>
      <c r="I30" s="13"/>
    </row>
    <row r="31" spans="1:9" ht="30" x14ac:dyDescent="0.25">
      <c r="A31" s="7">
        <v>43343</v>
      </c>
      <c r="B31" s="17">
        <f t="shared" ref="B31" si="29">WEEKNUM(A31)</f>
        <v>35</v>
      </c>
      <c r="C31" s="12">
        <v>1</v>
      </c>
      <c r="D31" s="20" t="s">
        <v>6</v>
      </c>
      <c r="E31" s="23" t="s">
        <v>18</v>
      </c>
      <c r="F31" s="21"/>
      <c r="I31" s="13"/>
    </row>
    <row r="32" spans="1:9" x14ac:dyDescent="0.25">
      <c r="A32" s="7">
        <v>43343</v>
      </c>
      <c r="B32" s="17">
        <f t="shared" ref="B32" si="30">WEEKNUM(A32)</f>
        <v>35</v>
      </c>
      <c r="C32" s="12">
        <v>0.5</v>
      </c>
      <c r="D32" s="20" t="s">
        <v>6</v>
      </c>
      <c r="E32" s="23" t="s">
        <v>17</v>
      </c>
      <c r="F32" s="21"/>
      <c r="I32" s="13"/>
    </row>
    <row r="33" spans="1:9" x14ac:dyDescent="0.25">
      <c r="A33" s="7">
        <v>43343</v>
      </c>
      <c r="B33" s="17">
        <f t="shared" ref="B33" si="31">WEEKNUM(A33)</f>
        <v>35</v>
      </c>
      <c r="C33" s="12">
        <v>0.5</v>
      </c>
      <c r="D33" s="20" t="s">
        <v>9</v>
      </c>
      <c r="E33" s="23" t="s">
        <v>16</v>
      </c>
      <c r="F33" s="21"/>
      <c r="I33" s="13"/>
    </row>
    <row r="34" spans="1:9" x14ac:dyDescent="0.25">
      <c r="A34" s="30"/>
      <c r="B34" s="31"/>
      <c r="C34" s="32"/>
      <c r="D34" s="33"/>
      <c r="E34" s="34"/>
      <c r="F34" s="35"/>
      <c r="I34" s="13"/>
    </row>
    <row r="35" spans="1:9" x14ac:dyDescent="0.25">
      <c r="A35" s="24"/>
      <c r="B35" s="25"/>
      <c r="C35" s="26"/>
      <c r="D35" s="27"/>
      <c r="E35" s="28"/>
      <c r="F35" s="29"/>
      <c r="I35" s="13"/>
    </row>
    <row r="36" spans="1:9" x14ac:dyDescent="0.25">
      <c r="A36" s="24"/>
      <c r="B36" s="25"/>
      <c r="C36" s="26"/>
      <c r="D36" s="27"/>
      <c r="E36" s="28"/>
      <c r="F36" s="29"/>
      <c r="I36" s="13"/>
    </row>
    <row r="37" spans="1:9" x14ac:dyDescent="0.25">
      <c r="A37" s="24"/>
      <c r="B37" s="25"/>
      <c r="C37" s="26"/>
      <c r="D37" s="27"/>
      <c r="E37" s="28"/>
      <c r="F37" s="29"/>
      <c r="I37" s="13"/>
    </row>
    <row r="38" spans="1:9" x14ac:dyDescent="0.25">
      <c r="A38" s="24"/>
      <c r="B38" s="25"/>
      <c r="C38" s="26"/>
      <c r="D38" s="27"/>
      <c r="E38" s="28"/>
      <c r="F38" s="29"/>
      <c r="I38" s="13"/>
    </row>
    <row r="39" spans="1:9" x14ac:dyDescent="0.25">
      <c r="A39" s="24"/>
      <c r="B39" s="25"/>
      <c r="C39" s="26"/>
      <c r="D39" s="27"/>
      <c r="E39" s="28"/>
      <c r="F39" s="29"/>
      <c r="I39" s="13"/>
    </row>
    <row r="40" spans="1:9" x14ac:dyDescent="0.25">
      <c r="A40" s="24"/>
      <c r="B40" s="25"/>
      <c r="C40" s="26"/>
      <c r="D40" s="27"/>
      <c r="E40" s="28"/>
      <c r="F40" s="29"/>
      <c r="I40" s="13"/>
    </row>
    <row r="41" spans="1:9" x14ac:dyDescent="0.25">
      <c r="A41" s="24"/>
      <c r="B41" s="25"/>
      <c r="C41" s="26"/>
      <c r="D41" s="27"/>
      <c r="E41" s="28"/>
      <c r="F41" s="29"/>
      <c r="I41" s="13"/>
    </row>
    <row r="42" spans="1:9" x14ac:dyDescent="0.25">
      <c r="A42" s="24"/>
      <c r="B42" s="25"/>
      <c r="C42" s="26"/>
      <c r="D42" s="27"/>
      <c r="E42" s="28"/>
      <c r="F42" s="29"/>
      <c r="I42" s="13"/>
    </row>
    <row r="43" spans="1:9" x14ac:dyDescent="0.25">
      <c r="A43" s="24"/>
      <c r="B43" s="25"/>
      <c r="C43" s="26"/>
      <c r="D43" s="27"/>
      <c r="E43" s="28"/>
      <c r="F43" s="29"/>
      <c r="I43" s="13"/>
    </row>
    <row r="44" spans="1:9" x14ac:dyDescent="0.25">
      <c r="A44" s="24"/>
      <c r="B44" s="25"/>
      <c r="C44" s="26"/>
      <c r="D44" s="27"/>
      <c r="E44" s="28"/>
      <c r="F44" s="29"/>
      <c r="I44" s="13"/>
    </row>
    <row r="45" spans="1:9" x14ac:dyDescent="0.25">
      <c r="A45" s="24"/>
      <c r="B45" s="25"/>
      <c r="C45" s="26"/>
      <c r="D45" s="27"/>
      <c r="E45" s="28"/>
      <c r="F45" s="29"/>
      <c r="I45" s="13"/>
    </row>
    <row r="46" spans="1:9" x14ac:dyDescent="0.25">
      <c r="A46" s="24"/>
      <c r="B46" s="25"/>
      <c r="C46" s="26"/>
      <c r="D46" s="27"/>
      <c r="E46" s="28"/>
      <c r="F46" s="29"/>
      <c r="I46" s="13"/>
    </row>
    <row r="47" spans="1:9" x14ac:dyDescent="0.25">
      <c r="A47" s="24"/>
      <c r="B47" s="25"/>
      <c r="C47" s="26"/>
      <c r="D47" s="27"/>
      <c r="E47" s="28"/>
      <c r="F47" s="29"/>
      <c r="I47" s="13"/>
    </row>
    <row r="48" spans="1:9" x14ac:dyDescent="0.25">
      <c r="A48" s="24"/>
      <c r="B48" s="25"/>
      <c r="C48" s="26"/>
      <c r="D48" s="27"/>
      <c r="E48" s="28"/>
      <c r="F48" s="29"/>
      <c r="I48" s="13"/>
    </row>
    <row r="49" spans="1:9" x14ac:dyDescent="0.25">
      <c r="A49" s="24"/>
      <c r="B49" s="25"/>
      <c r="C49" s="26"/>
      <c r="D49" s="27"/>
      <c r="E49" s="28"/>
      <c r="F49" s="29"/>
      <c r="I49" s="13"/>
    </row>
    <row r="50" spans="1:9" x14ac:dyDescent="0.25">
      <c r="A50" s="24"/>
      <c r="B50" s="25"/>
      <c r="C50" s="26"/>
      <c r="D50" s="27"/>
      <c r="E50" s="28"/>
      <c r="F50" s="29"/>
      <c r="I50" s="13"/>
    </row>
    <row r="51" spans="1:9" x14ac:dyDescent="0.25">
      <c r="A51" s="24"/>
      <c r="B51" s="25"/>
      <c r="C51" s="26"/>
      <c r="D51" s="27"/>
      <c r="E51" s="28"/>
      <c r="F51" s="29"/>
      <c r="I51" s="13"/>
    </row>
    <row r="52" spans="1:9" x14ac:dyDescent="0.25">
      <c r="A52" s="24"/>
      <c r="B52" s="25"/>
      <c r="C52" s="26"/>
      <c r="D52" s="27"/>
      <c r="E52" s="28"/>
      <c r="F52" s="29"/>
      <c r="I52" s="13"/>
    </row>
    <row r="53" spans="1:9" x14ac:dyDescent="0.25">
      <c r="A53" s="24"/>
      <c r="B53" s="25"/>
      <c r="C53" s="26"/>
      <c r="D53" s="27"/>
      <c r="E53" s="29"/>
      <c r="F53" s="29"/>
      <c r="I53" s="13"/>
    </row>
    <row r="54" spans="1:9" x14ac:dyDescent="0.25">
      <c r="A54" s="24"/>
      <c r="B54" s="25"/>
      <c r="C54" s="26"/>
      <c r="D54" s="27"/>
      <c r="E54" s="29"/>
      <c r="F54" s="29"/>
      <c r="I54" s="13"/>
    </row>
    <row r="55" spans="1:9" x14ac:dyDescent="0.25">
      <c r="A55" s="24"/>
      <c r="B55" s="25"/>
      <c r="C55" s="26"/>
      <c r="D55" s="27"/>
      <c r="E55" s="29"/>
      <c r="F55" s="29"/>
      <c r="I55" s="13"/>
    </row>
    <row r="56" spans="1:9" x14ac:dyDescent="0.25">
      <c r="A56" s="24"/>
      <c r="B56" s="25"/>
      <c r="C56" s="26"/>
      <c r="D56" s="27"/>
      <c r="E56" s="29"/>
      <c r="F56" s="29"/>
      <c r="I56" s="13"/>
    </row>
    <row r="57" spans="1:9" x14ac:dyDescent="0.25">
      <c r="A57" s="24"/>
      <c r="B57" s="25"/>
      <c r="C57" s="26"/>
      <c r="D57" s="27"/>
      <c r="E57" s="29"/>
      <c r="F57" s="29"/>
      <c r="I57" s="13"/>
    </row>
    <row r="58" spans="1:9" x14ac:dyDescent="0.25">
      <c r="A58" s="24"/>
      <c r="B58" s="25"/>
      <c r="C58" s="26"/>
      <c r="D58" s="27"/>
      <c r="E58" s="29"/>
      <c r="F58" s="29"/>
      <c r="I58" s="13"/>
    </row>
    <row r="59" spans="1:9" x14ac:dyDescent="0.25">
      <c r="A59" s="24"/>
      <c r="B59" s="25"/>
      <c r="C59" s="26"/>
      <c r="D59" s="27"/>
      <c r="E59" s="29"/>
      <c r="F59" s="29"/>
      <c r="I59" s="13"/>
    </row>
    <row r="60" spans="1:9" x14ac:dyDescent="0.25">
      <c r="A60" s="24"/>
      <c r="B60" s="25"/>
      <c r="C60" s="26"/>
      <c r="D60" s="27"/>
      <c r="E60" s="29"/>
      <c r="F60" s="29"/>
      <c r="I60" s="13"/>
    </row>
    <row r="61" spans="1:9" x14ac:dyDescent="0.25">
      <c r="A61" s="24"/>
      <c r="B61" s="25"/>
      <c r="C61" s="26"/>
      <c r="D61" s="27"/>
      <c r="E61" s="29"/>
      <c r="F61" s="29"/>
      <c r="I61" s="13"/>
    </row>
    <row r="62" spans="1:9" x14ac:dyDescent="0.25">
      <c r="A62" s="24"/>
      <c r="B62" s="25"/>
      <c r="C62" s="26"/>
      <c r="D62" s="27"/>
      <c r="E62" s="29"/>
      <c r="F62" s="29"/>
      <c r="I62" s="13"/>
    </row>
    <row r="63" spans="1:9" x14ac:dyDescent="0.25">
      <c r="A63" s="24"/>
      <c r="B63" s="25"/>
      <c r="C63" s="26"/>
      <c r="D63" s="27"/>
      <c r="E63" s="29"/>
      <c r="F63" s="29"/>
      <c r="I63" s="13"/>
    </row>
    <row r="64" spans="1:9" x14ac:dyDescent="0.25">
      <c r="A64" s="24"/>
      <c r="B64" s="25"/>
      <c r="C64" s="26"/>
      <c r="D64" s="27"/>
      <c r="E64" s="29"/>
      <c r="F64" s="29"/>
      <c r="I64" s="13"/>
    </row>
    <row r="65" spans="1:9" x14ac:dyDescent="0.25">
      <c r="A65" s="24"/>
      <c r="B65" s="25"/>
      <c r="C65" s="26"/>
      <c r="D65" s="27"/>
      <c r="E65" s="29"/>
      <c r="F65" s="29"/>
      <c r="I65" s="13"/>
    </row>
    <row r="66" spans="1:9" x14ac:dyDescent="0.25">
      <c r="A66" s="24"/>
      <c r="B66" s="25"/>
      <c r="C66" s="26"/>
      <c r="D66" s="27"/>
      <c r="E66" s="29"/>
      <c r="F66" s="29"/>
      <c r="I66" s="13"/>
    </row>
    <row r="67" spans="1:9" x14ac:dyDescent="0.25">
      <c r="A67" s="24"/>
      <c r="B67" s="25"/>
      <c r="C67" s="26"/>
      <c r="D67" s="27"/>
      <c r="E67" s="29"/>
      <c r="F67" s="29"/>
      <c r="I67" s="13"/>
    </row>
    <row r="68" spans="1:9" x14ac:dyDescent="0.25">
      <c r="A68" s="24"/>
      <c r="B68" s="25"/>
      <c r="C68" s="26"/>
      <c r="D68" s="27"/>
      <c r="E68" s="29"/>
      <c r="F68" s="29"/>
      <c r="I68" s="13"/>
    </row>
    <row r="69" spans="1:9" x14ac:dyDescent="0.25">
      <c r="A69" s="24"/>
      <c r="B69" s="25"/>
      <c r="C69" s="26"/>
      <c r="D69" s="27"/>
      <c r="E69" s="29"/>
      <c r="F69" s="29"/>
      <c r="I69" s="13"/>
    </row>
    <row r="70" spans="1:9" x14ac:dyDescent="0.25">
      <c r="A70" s="24"/>
      <c r="B70" s="25"/>
      <c r="C70" s="26"/>
      <c r="D70" s="27"/>
      <c r="E70" s="29"/>
      <c r="F70" s="29"/>
      <c r="I70" s="13"/>
    </row>
    <row r="71" spans="1:9" x14ac:dyDescent="0.25">
      <c r="A71" s="24"/>
      <c r="B71" s="25"/>
      <c r="C71" s="26"/>
      <c r="D71" s="27"/>
      <c r="E71" s="29"/>
      <c r="F71" s="29"/>
      <c r="I71" s="13"/>
    </row>
    <row r="72" spans="1:9" x14ac:dyDescent="0.25">
      <c r="A72" s="24"/>
      <c r="B72" s="25"/>
      <c r="C72" s="26"/>
      <c r="D72" s="27"/>
      <c r="E72" s="29"/>
      <c r="F72" s="29"/>
      <c r="I72" s="13"/>
    </row>
    <row r="73" spans="1:9" x14ac:dyDescent="0.25">
      <c r="A73" s="24"/>
      <c r="B73" s="25"/>
      <c r="C73" s="26"/>
      <c r="D73" s="27"/>
      <c r="E73" s="29"/>
      <c r="F73" s="29"/>
      <c r="I73" s="13"/>
    </row>
    <row r="74" spans="1:9" x14ac:dyDescent="0.25">
      <c r="A74" s="24"/>
      <c r="B74" s="25"/>
      <c r="C74" s="26"/>
      <c r="D74" s="27"/>
      <c r="E74" s="29"/>
      <c r="F74" s="29"/>
      <c r="I74" s="13"/>
    </row>
    <row r="75" spans="1:9" x14ac:dyDescent="0.25">
      <c r="A75" s="24"/>
      <c r="B75" s="25"/>
      <c r="C75" s="26"/>
      <c r="D75" s="27"/>
      <c r="E75" s="29"/>
      <c r="F75" s="29"/>
      <c r="I75" s="13"/>
    </row>
    <row r="76" spans="1:9" x14ac:dyDescent="0.25">
      <c r="A76" s="24"/>
      <c r="B76" s="25"/>
      <c r="C76" s="26"/>
      <c r="D76" s="27"/>
      <c r="E76" s="29"/>
      <c r="F76" s="29"/>
      <c r="I76" s="13"/>
    </row>
    <row r="77" spans="1:9" x14ac:dyDescent="0.25">
      <c r="A77" s="19"/>
    </row>
  </sheetData>
  <sheetProtection selectLockedCells="1"/>
  <sortState ref="A14:F15">
    <sortCondition ref="A1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C17" sqref="C17"/>
    </sheetView>
  </sheetViews>
  <sheetFormatPr baseColWidth="10" defaultColWidth="11.42578125" defaultRowHeight="15" x14ac:dyDescent="0.25"/>
  <cols>
    <col min="1" max="1" width="19.85546875" customWidth="1"/>
    <col min="2" max="2" width="14.7109375" customWidth="1"/>
    <col min="3" max="3" width="8" bestFit="1" customWidth="1"/>
    <col min="4" max="4" width="6.28515625" bestFit="1" customWidth="1"/>
    <col min="5" max="5" width="12.5703125" bestFit="1" customWidth="1"/>
    <col min="6" max="6" width="8.5703125" bestFit="1" customWidth="1"/>
    <col min="7" max="7" width="11.285156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12</v>
      </c>
    </row>
    <row r="4" spans="1:5" x14ac:dyDescent="0.25">
      <c r="B4" t="s">
        <v>9</v>
      </c>
      <c r="C4" t="s">
        <v>6</v>
      </c>
      <c r="D4" t="s">
        <v>14</v>
      </c>
      <c r="E4" t="s">
        <v>15</v>
      </c>
    </row>
    <row r="5" spans="1:5" x14ac:dyDescent="0.25">
      <c r="A5" s="5">
        <v>43343</v>
      </c>
      <c r="B5" s="3">
        <v>0.5</v>
      </c>
      <c r="C5" s="3">
        <v>1.75</v>
      </c>
      <c r="D5" s="3"/>
      <c r="E5" s="3">
        <v>2.25</v>
      </c>
    </row>
    <row r="6" spans="1:5" x14ac:dyDescent="0.25">
      <c r="A6" s="5" t="s">
        <v>14</v>
      </c>
      <c r="B6" s="3"/>
      <c r="C6" s="3"/>
      <c r="D6" s="3"/>
      <c r="E6" s="3"/>
    </row>
    <row r="7" spans="1:5" x14ac:dyDescent="0.25">
      <c r="A7" s="5">
        <v>43357</v>
      </c>
      <c r="B7" s="3">
        <v>2.25</v>
      </c>
      <c r="C7" s="3"/>
      <c r="D7" s="3"/>
      <c r="E7" s="3">
        <v>2.25</v>
      </c>
    </row>
    <row r="8" spans="1:5" x14ac:dyDescent="0.25">
      <c r="A8" s="5">
        <v>43354</v>
      </c>
      <c r="B8" s="3">
        <v>2.25</v>
      </c>
      <c r="C8" s="3"/>
      <c r="D8" s="3"/>
      <c r="E8" s="3">
        <v>2.25</v>
      </c>
    </row>
    <row r="9" spans="1:5" x14ac:dyDescent="0.25">
      <c r="A9" s="5">
        <v>43350</v>
      </c>
      <c r="B9" s="3">
        <v>2</v>
      </c>
      <c r="C9" s="3">
        <v>0.25</v>
      </c>
      <c r="D9" s="3"/>
      <c r="E9" s="3">
        <v>2.25</v>
      </c>
    </row>
    <row r="10" spans="1:5" x14ac:dyDescent="0.25">
      <c r="A10" s="5">
        <v>43347</v>
      </c>
      <c r="B10" s="3">
        <v>2.25</v>
      </c>
      <c r="C10" s="3"/>
      <c r="D10" s="3"/>
      <c r="E10" s="3">
        <v>2.25</v>
      </c>
    </row>
    <row r="11" spans="1:5" x14ac:dyDescent="0.25">
      <c r="A11" s="5" t="s">
        <v>15</v>
      </c>
      <c r="B11" s="3">
        <v>9.25</v>
      </c>
      <c r="C11" s="3">
        <v>2</v>
      </c>
      <c r="D11" s="3"/>
      <c r="E11" s="3">
        <v>11.25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2018-12-04T14:47:39Z</dcterms:modified>
</cp:coreProperties>
</file>